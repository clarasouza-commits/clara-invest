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" sheetId="1" state="visible" r:id="rId3"/>
    <sheet name="Perfis" sheetId="2" state="visible" r:id="rId4"/>
  </sheets>
  <definedNames>
    <definedName function="false" hidden="false" name="aporte" vbProcedure="false">APP!$D$17</definedName>
    <definedName function="false" hidden="false" name="dividendos" vbProcedure="false">APP!$D$21</definedName>
    <definedName function="false" hidden="false" name="lista_perfis" vbProcedure="false">Perfis!$F$3:$F$5</definedName>
    <definedName function="false" hidden="false" name="patrimonio" vbProcedure="false">APP!$D$20</definedName>
    <definedName function="false" hidden="false" name="perfil" vbProcedure="false">APP!$D$37</definedName>
    <definedName function="false" hidden="false" name="qtd_anos" vbProcedure="false">APP!$D$18</definedName>
    <definedName function="false" hidden="false" name="rendimento_carteira" vbProcedure="false">APP!$D$13</definedName>
    <definedName function="false" hidden="false" name="salario" vbProcedure="false">APP!$D$12</definedName>
    <definedName function="false" hidden="false" name="sugestao_investimento" vbProcedure="false">APP!$D$14</definedName>
    <definedName function="false" hidden="false" name="tabela_perfis" vbProcedure="false">Perfis!$A$3:$D$20</definedName>
    <definedName function="false" hidden="false" name="taxa_mensal" vbProcedure="false">APP!$D$19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" authorId="0">
      <text>
        <r>
          <rPr>
            <sz val="10"/>
            <rFont val="Arial"/>
            <family val="2"/>
          </rPr>
          <t xml:space="preserve">Valor de exemplo, não é salário real.</t>
        </r>
      </text>
    </comment>
    <comment ref="D14" authorId="0">
      <text>
        <r>
          <rPr>
            <sz val="10"/>
            <rFont val="Arial"/>
            <family val="2"/>
          </rPr>
          <t xml:space="preserve">Premissa: sugestão = 30% do salário (regra do desafio).</t>
        </r>
      </text>
    </comment>
  </commentList>
</comments>
</file>

<file path=xl/sharedStrings.xml><?xml version="1.0" encoding="utf-8"?>
<sst xmlns="http://schemas.openxmlformats.org/spreadsheetml/2006/main" count="82" uniqueCount="41">
  <si>
    <t xml:space="preserve">Células brancas (texto azul) = você preenche  |  Células cinza = calculadas, não edite</t>
  </si>
  <si>
    <t xml:space="preserve">CONFIGURAÇÕES</t>
  </si>
  <si>
    <t xml:space="preserve">Salário</t>
  </si>
  <si>
    <t xml:space="preserve">Rendimento Carteira (dividend yield mensal)</t>
  </si>
  <si>
    <t xml:space="preserve">Sugestão de Investimento (30%)</t>
  </si>
  <si>
    <t xml:space="preserve">INVESTIMENTO MENSAL</t>
  </si>
  <si>
    <t xml:space="preserve">Quanto investir por mês ?</t>
  </si>
  <si>
    <t xml:space="preserve">Por quantos anos ?</t>
  </si>
  <si>
    <t xml:space="preserve">Taxa de rendimento mensal ?</t>
  </si>
  <si>
    <t xml:space="preserve">Patrimônio acumulado ?</t>
  </si>
  <si>
    <t xml:space="preserve">Dividendos mensais ?</t>
  </si>
  <si>
    <t xml:space="preserve">Anos</t>
  </si>
  <si>
    <t xml:space="preserve">CENÁRIOS</t>
  </si>
  <si>
    <t xml:space="preserve">Patrimônio</t>
  </si>
  <si>
    <t xml:space="preserve">Dividendos / mês</t>
  </si>
  <si>
    <t xml:space="preserve">SIMULAÇÃO COM 30% DO SALÁRIO</t>
  </si>
  <si>
    <t xml:space="preserve">Aporte mensal sugerido</t>
  </si>
  <si>
    <t xml:space="preserve">Diferença de patrimônio vs. seu aporte</t>
  </si>
  <si>
    <t xml:space="preserve">DIVISÃO DO APORTE POR PERFIL</t>
  </si>
  <si>
    <t xml:space="preserve">PERFIL (escolha na lista)</t>
  </si>
  <si>
    <t xml:space="preserve">Moderado</t>
  </si>
  <si>
    <t xml:space="preserve">VALOR A SER INVESTIDO POR MÊS</t>
  </si>
  <si>
    <t xml:space="preserve">TIPO DE FII</t>
  </si>
  <si>
    <t xml:space="preserve">Percentual sugerido</t>
  </si>
  <si>
    <t xml:space="preserve">Valor (R$)</t>
  </si>
  <si>
    <t xml:space="preserve">PAPEL</t>
  </si>
  <si>
    <t xml:space="preserve">TIJOLO</t>
  </si>
  <si>
    <t xml:space="preserve">HÍBRIDOS</t>
  </si>
  <si>
    <t xml:space="preserve">FOFs</t>
  </si>
  <si>
    <t xml:space="preserve">DESENVOLVIMENTO</t>
  </si>
  <si>
    <t xml:space="preserve">HOTELARIAS</t>
  </si>
  <si>
    <t xml:space="preserve">TOTAL</t>
  </si>
  <si>
    <t xml:space="preserve">Tabela de apoio: perfil x tipo de FII x percentual</t>
  </si>
  <si>
    <t xml:space="preserve">CHAVE</t>
  </si>
  <si>
    <t xml:space="preserve">PERFIL</t>
  </si>
  <si>
    <t xml:space="preserve">%</t>
  </si>
  <si>
    <t xml:space="preserve">SOMA</t>
  </si>
  <si>
    <t xml:space="preserve">STATUS</t>
  </si>
  <si>
    <t xml:space="preserve">Conservador</t>
  </si>
  <si>
    <t xml:space="preserve">Agressivo</t>
  </si>
  <si>
    <t xml:space="preserve">Percentuais ilustrativos, definidos pela autora para fins didáticos. Não são recomendação de investimento. Cada perfil deve somar 100%.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</si>
</sst>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"/>
    <numFmt numFmtId="166" formatCode="0.00%"/>
    <numFmt numFmtId="167" formatCode="0"/>
    <numFmt numFmtId="168" formatCode="0.000%"/>
    <numFmt numFmtId="169" formatCode="&quot;R$ &quot;#,##0.00;[RED]&quot;-R$ &quot;#,##0.00"/>
    <numFmt numFmtId="170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Calibri"/>
      <family val="0"/>
      <charset val="1"/>
    </font>
    <font>
      <b val="true"/>
      <sz val="18"/>
      <color rgb="FF000000"/>
      <name val="Calibri"/>
      <family val="0"/>
      <charset val="1"/>
    </font>
    <font>
      <sz val="12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7F7F7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7964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C0C0C0"/>
      </patternFill>
    </fill>
    <fill>
      <patternFill patternType="solid">
        <fgColor rgb="FF548235"/>
        <bgColor rgb="FF339966"/>
      </patternFill>
    </fill>
    <fill>
      <patternFill patternType="solid">
        <fgColor rgb="FFFFEB9C"/>
        <bgColor rgb="FFFFCC99"/>
      </patternFill>
    </fill>
    <fill>
      <patternFill patternType="solid">
        <fgColor rgb="FFA6A6A6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4F81BD"/>
      <rgbColor rgb="FF4BACC6"/>
      <rgbColor rgb="FF9BBB59"/>
      <rgbColor rgb="FFFFC000"/>
      <rgbColor rgb="FFF79646"/>
      <rgbColor rgb="FFFF6600"/>
      <rgbColor rgb="FF8064A2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Divisão do aporte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APP!$B$41:$B$46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APP!$D$41:$D$46</c:f>
              <c:numCache>
                <c:formatCode>"R$ "#,##0.00</c:formatCode>
                <c:ptCount val="6"/>
                <c:pt idx="0">
                  <c:v>105</c:v>
                </c:pt>
                <c:pt idx="1">
                  <c:v>122.5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17.5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48</xdr:row>
      <xdr:rowOff>0</xdr:rowOff>
    </xdr:from>
    <xdr:to>
      <xdr:col>3</xdr:col>
      <xdr:colOff>1131840</xdr:colOff>
      <xdr:row>63</xdr:row>
      <xdr:rowOff>22320</xdr:rowOff>
    </xdr:to>
    <xdr:graphicFrame>
      <xdr:nvGraphicFramePr>
        <xdr:cNvPr id="0" name="Chart 1"/>
        <xdr:cNvGraphicFramePr/>
      </xdr:nvGraphicFramePr>
      <xdr:xfrm>
        <a:off x="493560" y="12068280"/>
        <a:ext cx="52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674280</xdr:colOff>
      <xdr:row>8</xdr:row>
      <xdr:rowOff>133200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93560" y="0"/>
          <a:ext cx="4762080" cy="2571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24" hidden="false" customHeight="true" outlineLevel="0" collapsed="false"/>
    <row r="2" customFormat="false" ht="24" hidden="false" customHeight="true" outlineLevel="0" collapsed="false"/>
    <row r="3" customFormat="false" ht="24" hidden="false" customHeight="true" outlineLevel="0" collapsed="false"/>
    <row r="4" customFormat="false" ht="24" hidden="false" customHeight="true" outlineLevel="0" collapsed="false"/>
    <row r="5" customFormat="false" ht="24" hidden="false" customHeight="true" outlineLevel="0" collapsed="false"/>
    <row r="6" customFormat="false" ht="24" hidden="false" customHeight="true" outlineLevel="0" collapsed="false"/>
    <row r="7" customFormat="false" ht="24" hidden="false" customHeight="true" outlineLevel="0" collapsed="false"/>
    <row r="8" customFormat="false" ht="24" hidden="false" customHeight="true" outlineLevel="0" collapsed="false"/>
    <row r="9" customFormat="false" ht="24" hidden="false" customHeight="true" outlineLevel="0" collapsed="false"/>
    <row r="10" customFormat="false" ht="15" hidden="false" customHeight="false" outlineLevel="0" collapsed="false">
      <c r="A10" s="1" t="s">
        <v>0</v>
      </c>
      <c r="B10" s="1"/>
      <c r="C10" s="1"/>
      <c r="D10" s="1"/>
    </row>
    <row r="11" customFormat="false" ht="27.75" hidden="false" customHeight="true" outlineLevel="0" collapsed="false">
      <c r="B11" s="2" t="s">
        <v>1</v>
      </c>
      <c r="C11" s="2"/>
      <c r="D11" s="2"/>
    </row>
    <row r="12" customFormat="false" ht="19.5" hidden="false" customHeight="true" outlineLevel="0" collapsed="false">
      <c r="B12" s="3" t="s">
        <v>2</v>
      </c>
      <c r="C12" s="3"/>
      <c r="D12" s="4" t="n">
        <v>3000</v>
      </c>
    </row>
    <row r="13" customFormat="false" ht="19.5" hidden="false" customHeight="true" outlineLevel="0" collapsed="false">
      <c r="B13" s="3" t="s">
        <v>3</v>
      </c>
      <c r="C13" s="3"/>
      <c r="D13" s="5" t="n">
        <v>0.006</v>
      </c>
    </row>
    <row r="14" customFormat="false" ht="19.5" hidden="false" customHeight="true" outlineLevel="0" collapsed="false">
      <c r="B14" s="6" t="s">
        <v>4</v>
      </c>
      <c r="C14" s="6"/>
      <c r="D14" s="7" t="n">
        <f aca="false">salario*0.3</f>
        <v>900</v>
      </c>
    </row>
    <row r="16" customFormat="false" ht="27.75" hidden="false" customHeight="true" outlineLevel="0" collapsed="false">
      <c r="B16" s="8" t="s">
        <v>5</v>
      </c>
      <c r="C16" s="8"/>
      <c r="D16" s="8"/>
    </row>
    <row r="17" customFormat="false" ht="19.5" hidden="false" customHeight="true" outlineLevel="0" collapsed="false">
      <c r="B17" s="3" t="s">
        <v>6</v>
      </c>
      <c r="C17" s="3"/>
      <c r="D17" s="4" t="n">
        <v>350</v>
      </c>
    </row>
    <row r="18" customFormat="false" ht="19.5" hidden="false" customHeight="true" outlineLevel="0" collapsed="false">
      <c r="B18" s="3" t="s">
        <v>7</v>
      </c>
      <c r="C18" s="3"/>
      <c r="D18" s="9" t="n">
        <v>5</v>
      </c>
    </row>
    <row r="19" customFormat="false" ht="19.5" hidden="false" customHeight="true" outlineLevel="0" collapsed="false">
      <c r="B19" s="3" t="s">
        <v>8</v>
      </c>
      <c r="C19" s="3"/>
      <c r="D19" s="10" t="n">
        <v>0.01079</v>
      </c>
    </row>
    <row r="20" customFormat="false" ht="19.5" hidden="false" customHeight="true" outlineLevel="0" collapsed="false">
      <c r="B20" s="11" t="s">
        <v>9</v>
      </c>
      <c r="C20" s="11"/>
      <c r="D20" s="12" t="n">
        <f aca="false">FV(taxa_mensal,qtd_anos*12,aporte*-1)</f>
        <v>29321.9198994706</v>
      </c>
    </row>
    <row r="21" customFormat="false" ht="19.5" hidden="false" customHeight="true" outlineLevel="0" collapsed="false">
      <c r="B21" s="11" t="s">
        <v>10</v>
      </c>
      <c r="C21" s="11"/>
      <c r="D21" s="12" t="n">
        <f aca="false">patrimonio*rendimento_carteira</f>
        <v>175.931519396823</v>
      </c>
    </row>
    <row r="23" customFormat="false" ht="27.75" hidden="false" customHeight="true" outlineLevel="0" collapsed="false">
      <c r="A23" s="13" t="s">
        <v>11</v>
      </c>
      <c r="B23" s="14" t="s">
        <v>12</v>
      </c>
      <c r="C23" s="15" t="s">
        <v>13</v>
      </c>
      <c r="D23" s="15" t="s">
        <v>14</v>
      </c>
    </row>
    <row r="24" customFormat="false" ht="19.5" hidden="false" customHeight="true" outlineLevel="0" collapsed="false">
      <c r="A24" s="16" t="n">
        <v>2</v>
      </c>
      <c r="B24" s="6" t="str">
        <f aca="false">"Quanto em "&amp;$A24&amp;" anos ?"</f>
        <v>Quanto em 2 anos ?</v>
      </c>
      <c r="C24" s="17" t="n">
        <f aca="false">FV($D$19,$A24*12,$D$17*-1)</f>
        <v>9529.6695541758</v>
      </c>
      <c r="D24" s="17" t="n">
        <f aca="false">C24*rendimento_carteira</f>
        <v>57.1780173250548</v>
      </c>
    </row>
    <row r="25" customFormat="false" ht="19.5" hidden="false" customHeight="true" outlineLevel="0" collapsed="false">
      <c r="A25" s="16" t="n">
        <v>5</v>
      </c>
      <c r="B25" s="6" t="str">
        <f aca="false">"Quanto em "&amp;$A25&amp;" anos ?"</f>
        <v>Quanto em 5 anos ?</v>
      </c>
      <c r="C25" s="17" t="n">
        <f aca="false">FV($D$19,$A25*12,$D$17*-1)</f>
        <v>29321.9198994706</v>
      </c>
      <c r="D25" s="17" t="n">
        <f aca="false">C25*rendimento_carteira</f>
        <v>175.931519396823</v>
      </c>
    </row>
    <row r="26" customFormat="false" ht="19.5" hidden="false" customHeight="true" outlineLevel="0" collapsed="false">
      <c r="A26" s="16" t="n">
        <v>10</v>
      </c>
      <c r="B26" s="6" t="str">
        <f aca="false">"Quanto em "&amp;$A26&amp;" anos ?"</f>
        <v>Quanto em 10 anos ?</v>
      </c>
      <c r="C26" s="17" t="n">
        <f aca="false">FV($D$19,$A26*12,$D$17*-1)</f>
        <v>85149.4743855599</v>
      </c>
      <c r="D26" s="17" t="n">
        <f aca="false">C26*rendimento_carteira</f>
        <v>510.896846313359</v>
      </c>
    </row>
    <row r="27" customFormat="false" ht="19.5" hidden="false" customHeight="true" outlineLevel="0" collapsed="false">
      <c r="A27" s="16" t="n">
        <v>20</v>
      </c>
      <c r="B27" s="6" t="str">
        <f aca="false">"Quanto em "&amp;$A27&amp;" anos ?"</f>
        <v>Quanto em 20 anos ?</v>
      </c>
      <c r="C27" s="17" t="n">
        <f aca="false">FV($D$19,$A27*12,$D$17*-1)</f>
        <v>393819.440033975</v>
      </c>
      <c r="D27" s="17" t="n">
        <f aca="false">C27*rendimento_carteira</f>
        <v>2362.91664020385</v>
      </c>
    </row>
    <row r="28" customFormat="false" ht="19.5" hidden="false" customHeight="true" outlineLevel="0" collapsed="false">
      <c r="A28" s="16" t="n">
        <v>30</v>
      </c>
      <c r="B28" s="6" t="str">
        <f aca="false">"Quanto em "&amp;$A28&amp;" anos ?"</f>
        <v>Quanto em 30 anos ?</v>
      </c>
      <c r="C28" s="17" t="n">
        <f aca="false">FV($D$19,$A28*12,$D$17*-1)</f>
        <v>1512759.37925164</v>
      </c>
      <c r="D28" s="17" t="n">
        <f aca="false">C28*rendimento_carteira</f>
        <v>9076.55627550981</v>
      </c>
    </row>
    <row r="30" customFormat="false" ht="27.75" hidden="false" customHeight="true" outlineLevel="0" collapsed="false">
      <c r="B30" s="18" t="s">
        <v>15</v>
      </c>
      <c r="C30" s="18"/>
      <c r="D30" s="18"/>
    </row>
    <row r="31" customFormat="false" ht="19.5" hidden="false" customHeight="true" outlineLevel="0" collapsed="false">
      <c r="B31" s="6" t="s">
        <v>16</v>
      </c>
      <c r="C31" s="6"/>
      <c r="D31" s="7" t="n">
        <f aca="false">sugestao_investimento</f>
        <v>900</v>
      </c>
    </row>
    <row r="32" customFormat="false" ht="19.5" hidden="false" customHeight="true" outlineLevel="0" collapsed="false">
      <c r="B32" s="11" t="s">
        <v>9</v>
      </c>
      <c r="C32" s="11"/>
      <c r="D32" s="12" t="n">
        <f aca="false">FV(taxa_mensal,qtd_anos*12,sugestao_investimento*-1)</f>
        <v>75399.2225986386</v>
      </c>
    </row>
    <row r="33" customFormat="false" ht="19.5" hidden="false" customHeight="true" outlineLevel="0" collapsed="false">
      <c r="B33" s="11" t="s">
        <v>10</v>
      </c>
      <c r="C33" s="11"/>
      <c r="D33" s="12" t="n">
        <f aca="false">D32*rendimento_carteira</f>
        <v>452.395335591832</v>
      </c>
    </row>
    <row r="34" customFormat="false" ht="19.5" hidden="false" customHeight="true" outlineLevel="0" collapsed="false">
      <c r="B34" s="6" t="s">
        <v>17</v>
      </c>
      <c r="C34" s="6"/>
      <c r="D34" s="19" t="n">
        <f aca="false">D32-patrimonio</f>
        <v>46077.302699168</v>
      </c>
    </row>
    <row r="36" customFormat="false" ht="27.75" hidden="false" customHeight="true" outlineLevel="0" collapsed="false">
      <c r="B36" s="18" t="s">
        <v>18</v>
      </c>
      <c r="C36" s="18"/>
      <c r="D36" s="18"/>
    </row>
    <row r="37" customFormat="false" ht="19.5" hidden="false" customHeight="true" outlineLevel="0" collapsed="false">
      <c r="B37" s="20" t="s">
        <v>19</v>
      </c>
      <c r="C37" s="20"/>
      <c r="D37" s="21" t="s">
        <v>20</v>
      </c>
    </row>
    <row r="38" customFormat="false" ht="19.5" hidden="false" customHeight="true" outlineLevel="0" collapsed="false">
      <c r="B38" s="22" t="s">
        <v>21</v>
      </c>
      <c r="C38" s="22"/>
      <c r="D38" s="23" t="n">
        <f aca="false">aporte</f>
        <v>350</v>
      </c>
    </row>
    <row r="40" customFormat="false" ht="15" hidden="false" customHeight="false" outlineLevel="0" collapsed="false">
      <c r="B40" s="24" t="s">
        <v>22</v>
      </c>
      <c r="C40" s="24" t="s">
        <v>23</v>
      </c>
      <c r="D40" s="24" t="s">
        <v>24</v>
      </c>
    </row>
    <row r="41" customFormat="false" ht="15" hidden="false" customHeight="false" outlineLevel="0" collapsed="false">
      <c r="B41" s="25" t="s">
        <v>25</v>
      </c>
      <c r="C41" s="26" t="n">
        <f aca="false">VLOOKUP($D$37&amp;"-"&amp;B41,tabela_perfis,4,FALSE())</f>
        <v>0.3</v>
      </c>
      <c r="D41" s="27" t="n">
        <f aca="false">C41*$D$38</f>
        <v>105</v>
      </c>
    </row>
    <row r="42" customFormat="false" ht="15" hidden="false" customHeight="false" outlineLevel="0" collapsed="false">
      <c r="B42" s="25" t="s">
        <v>26</v>
      </c>
      <c r="C42" s="26" t="n">
        <f aca="false">VLOOKUP($D$37&amp;"-"&amp;B42,tabela_perfis,4,FALSE())</f>
        <v>0.35</v>
      </c>
      <c r="D42" s="27" t="n">
        <f aca="false">C42*$D$38</f>
        <v>122.5</v>
      </c>
    </row>
    <row r="43" customFormat="false" ht="15" hidden="false" customHeight="false" outlineLevel="0" collapsed="false">
      <c r="B43" s="25" t="s">
        <v>27</v>
      </c>
      <c r="C43" s="26" t="n">
        <f aca="false">VLOOKUP($D$37&amp;"-"&amp;B43,tabela_perfis,4,FALSE())</f>
        <v>0.1</v>
      </c>
      <c r="D43" s="27" t="n">
        <f aca="false">C43*$D$38</f>
        <v>35</v>
      </c>
    </row>
    <row r="44" customFormat="false" ht="15" hidden="false" customHeight="false" outlineLevel="0" collapsed="false">
      <c r="B44" s="25" t="s">
        <v>28</v>
      </c>
      <c r="C44" s="26" t="n">
        <f aca="false">VLOOKUP($D$37&amp;"-"&amp;B44,tabela_perfis,4,FALSE())</f>
        <v>0.1</v>
      </c>
      <c r="D44" s="27" t="n">
        <f aca="false">C44*$D$38</f>
        <v>35</v>
      </c>
    </row>
    <row r="45" customFormat="false" ht="15" hidden="false" customHeight="false" outlineLevel="0" collapsed="false">
      <c r="B45" s="25" t="s">
        <v>29</v>
      </c>
      <c r="C45" s="26" t="n">
        <f aca="false">VLOOKUP($D$37&amp;"-"&amp;B45,tabela_perfis,4,FALSE())</f>
        <v>0.1</v>
      </c>
      <c r="D45" s="27" t="n">
        <f aca="false">C45*$D$38</f>
        <v>35</v>
      </c>
    </row>
    <row r="46" customFormat="false" ht="15" hidden="false" customHeight="false" outlineLevel="0" collapsed="false">
      <c r="B46" s="25" t="s">
        <v>30</v>
      </c>
      <c r="C46" s="26" t="n">
        <f aca="false">VLOOKUP($D$37&amp;"-"&amp;B46,tabela_perfis,4,FALSE())</f>
        <v>0.05</v>
      </c>
      <c r="D46" s="27" t="n">
        <f aca="false">C46*$D$38</f>
        <v>17.5</v>
      </c>
    </row>
    <row r="47" customFormat="false" ht="15" hidden="false" customHeight="false" outlineLevel="0" collapsed="false">
      <c r="B47" s="24" t="s">
        <v>31</v>
      </c>
      <c r="C47" s="28" t="n">
        <f aca="false">SUM(C41:C46)</f>
        <v>1</v>
      </c>
      <c r="D47" s="29" t="n">
        <f aca="false">SUM(D41:D46)</f>
        <v>350</v>
      </c>
    </row>
  </sheetData>
  <mergeCells count="19">
    <mergeCell ref="A10:D10"/>
    <mergeCell ref="B11:D11"/>
    <mergeCell ref="B12:C12"/>
    <mergeCell ref="B13:C13"/>
    <mergeCell ref="B14:C14"/>
    <mergeCell ref="B16:D16"/>
    <mergeCell ref="B17:C17"/>
    <mergeCell ref="B18:C18"/>
    <mergeCell ref="B19:C19"/>
    <mergeCell ref="B20:C20"/>
    <mergeCell ref="B21:C21"/>
    <mergeCell ref="B30:D30"/>
    <mergeCell ref="B31:C31"/>
    <mergeCell ref="B32:C32"/>
    <mergeCell ref="B33:C33"/>
    <mergeCell ref="B34:C34"/>
    <mergeCell ref="B36:D36"/>
    <mergeCell ref="B37:C37"/>
    <mergeCell ref="B38:C38"/>
  </mergeCells>
  <dataValidations count="1">
    <dataValidation allowBlank="false" error="Escolha Conservador, Moderado ou Agressivo." errorStyle="stop" errorTitle="Perfil inválido" operator="between" showDropDown="false" showErrorMessage="true" showInputMessage="false" sqref="D37" type="list">
      <formula1>lista_perfis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0" t="s">
        <v>32</v>
      </c>
    </row>
    <row r="2" customFormat="false" ht="15" hidden="false" customHeight="false" outlineLevel="0" collapsed="false">
      <c r="A2" s="31" t="s">
        <v>33</v>
      </c>
      <c r="B2" s="31" t="s">
        <v>34</v>
      </c>
      <c r="C2" s="31" t="s">
        <v>22</v>
      </c>
      <c r="D2" s="31" t="s">
        <v>35</v>
      </c>
      <c r="F2" s="31" t="s">
        <v>34</v>
      </c>
      <c r="G2" s="31" t="s">
        <v>36</v>
      </c>
      <c r="H2" s="31" t="s">
        <v>37</v>
      </c>
    </row>
    <row r="3" customFormat="false" ht="15" hidden="false" customHeight="false" outlineLevel="0" collapsed="false">
      <c r="A3" s="32" t="str">
        <f aca="false">B3&amp;"-"&amp;C3</f>
        <v>Conservador-PAPEL</v>
      </c>
      <c r="B3" s="33" t="s">
        <v>38</v>
      </c>
      <c r="C3" s="33" t="s">
        <v>25</v>
      </c>
      <c r="D3" s="34" t="n">
        <v>0.4</v>
      </c>
      <c r="F3" s="25" t="s">
        <v>38</v>
      </c>
      <c r="G3" s="26" t="n">
        <f aca="false">SUMIF($B$3:$B$20,F3,$D$3:$D$20)</f>
        <v>1</v>
      </c>
      <c r="H3" s="35" t="str">
        <f aca="false">IF(ROUND(G3,6)=1,"OK","REVISAR")</f>
        <v>OK</v>
      </c>
    </row>
    <row r="4" customFormat="false" ht="15" hidden="false" customHeight="false" outlineLevel="0" collapsed="false">
      <c r="A4" s="32" t="str">
        <f aca="false">B4&amp;"-"&amp;C4</f>
        <v>Conservador-TIJOLO</v>
      </c>
      <c r="B4" s="33" t="s">
        <v>38</v>
      </c>
      <c r="C4" s="33" t="s">
        <v>26</v>
      </c>
      <c r="D4" s="34" t="n">
        <v>0.35</v>
      </c>
      <c r="F4" s="25" t="s">
        <v>20</v>
      </c>
      <c r="G4" s="26" t="n">
        <f aca="false">SUMIF($B$3:$B$20,F4,$D$3:$D$20)</f>
        <v>1</v>
      </c>
      <c r="H4" s="35" t="str">
        <f aca="false">IF(ROUND(G4,6)=1,"OK","REVISAR")</f>
        <v>OK</v>
      </c>
    </row>
    <row r="5" customFormat="false" ht="15" hidden="false" customHeight="false" outlineLevel="0" collapsed="false">
      <c r="A5" s="32" t="str">
        <f aca="false">B5&amp;"-"&amp;C5</f>
        <v>Conservador-HÍBRIDOS</v>
      </c>
      <c r="B5" s="33" t="s">
        <v>38</v>
      </c>
      <c r="C5" s="33" t="s">
        <v>27</v>
      </c>
      <c r="D5" s="34" t="n">
        <v>0.1</v>
      </c>
      <c r="F5" s="25" t="s">
        <v>39</v>
      </c>
      <c r="G5" s="26" t="n">
        <f aca="false">SUMIF($B$3:$B$20,F5,$D$3:$D$20)</f>
        <v>1</v>
      </c>
      <c r="H5" s="35" t="str">
        <f aca="false">IF(ROUND(G5,6)=1,"OK","REVISAR")</f>
        <v>OK</v>
      </c>
    </row>
    <row r="6" customFormat="false" ht="15" hidden="false" customHeight="false" outlineLevel="0" collapsed="false">
      <c r="A6" s="32" t="str">
        <f aca="false">B6&amp;"-"&amp;C6</f>
        <v>Conservador-FOFs</v>
      </c>
      <c r="B6" s="33" t="s">
        <v>38</v>
      </c>
      <c r="C6" s="33" t="s">
        <v>28</v>
      </c>
      <c r="D6" s="34" t="n">
        <v>0.1</v>
      </c>
    </row>
    <row r="7" customFormat="false" ht="15" hidden="false" customHeight="false" outlineLevel="0" collapsed="false">
      <c r="A7" s="32" t="str">
        <f aca="false">B7&amp;"-"&amp;C7</f>
        <v>Conservador-DESENVOLVIMENTO</v>
      </c>
      <c r="B7" s="33" t="s">
        <v>38</v>
      </c>
      <c r="C7" s="33" t="s">
        <v>29</v>
      </c>
      <c r="D7" s="34" t="n">
        <v>0</v>
      </c>
    </row>
    <row r="8" customFormat="false" ht="15" hidden="false" customHeight="false" outlineLevel="0" collapsed="false">
      <c r="A8" s="32" t="str">
        <f aca="false">B8&amp;"-"&amp;C8</f>
        <v>Conservador-HOTELARIAS</v>
      </c>
      <c r="B8" s="33" t="s">
        <v>38</v>
      </c>
      <c r="C8" s="33" t="s">
        <v>30</v>
      </c>
      <c r="D8" s="34" t="n">
        <v>0.05</v>
      </c>
    </row>
    <row r="9" customFormat="false" ht="15" hidden="false" customHeight="false" outlineLevel="0" collapsed="false">
      <c r="A9" s="32" t="str">
        <f aca="false">B9&amp;"-"&amp;C9</f>
        <v>Moderado-PAPEL</v>
      </c>
      <c r="B9" s="33" t="s">
        <v>20</v>
      </c>
      <c r="C9" s="33" t="s">
        <v>25</v>
      </c>
      <c r="D9" s="34" t="n">
        <v>0.3</v>
      </c>
    </row>
    <row r="10" customFormat="false" ht="15" hidden="false" customHeight="false" outlineLevel="0" collapsed="false">
      <c r="A10" s="32" t="str">
        <f aca="false">B10&amp;"-"&amp;C10</f>
        <v>Moderado-TIJOLO</v>
      </c>
      <c r="B10" s="33" t="s">
        <v>20</v>
      </c>
      <c r="C10" s="33" t="s">
        <v>26</v>
      </c>
      <c r="D10" s="34" t="n">
        <v>0.35</v>
      </c>
    </row>
    <row r="11" customFormat="false" ht="15" hidden="false" customHeight="false" outlineLevel="0" collapsed="false">
      <c r="A11" s="32" t="str">
        <f aca="false">B11&amp;"-"&amp;C11</f>
        <v>Moderado-HÍBRIDOS</v>
      </c>
      <c r="B11" s="33" t="s">
        <v>20</v>
      </c>
      <c r="C11" s="33" t="s">
        <v>27</v>
      </c>
      <c r="D11" s="34" t="n">
        <v>0.1</v>
      </c>
    </row>
    <row r="12" customFormat="false" ht="15" hidden="false" customHeight="false" outlineLevel="0" collapsed="false">
      <c r="A12" s="32" t="str">
        <f aca="false">B12&amp;"-"&amp;C12</f>
        <v>Moderado-FOFs</v>
      </c>
      <c r="B12" s="33" t="s">
        <v>20</v>
      </c>
      <c r="C12" s="33" t="s">
        <v>28</v>
      </c>
      <c r="D12" s="34" t="n">
        <v>0.1</v>
      </c>
    </row>
    <row r="13" customFormat="false" ht="15" hidden="false" customHeight="false" outlineLevel="0" collapsed="false">
      <c r="A13" s="32" t="str">
        <f aca="false">B13&amp;"-"&amp;C13</f>
        <v>Moderado-DESENVOLVIMENTO</v>
      </c>
      <c r="B13" s="33" t="s">
        <v>20</v>
      </c>
      <c r="C13" s="33" t="s">
        <v>29</v>
      </c>
      <c r="D13" s="34" t="n">
        <v>0.1</v>
      </c>
    </row>
    <row r="14" customFormat="false" ht="15" hidden="false" customHeight="false" outlineLevel="0" collapsed="false">
      <c r="A14" s="32" t="str">
        <f aca="false">B14&amp;"-"&amp;C14</f>
        <v>Moderado-HOTELARIAS</v>
      </c>
      <c r="B14" s="33" t="s">
        <v>20</v>
      </c>
      <c r="C14" s="33" t="s">
        <v>30</v>
      </c>
      <c r="D14" s="34" t="n">
        <v>0.05</v>
      </c>
    </row>
    <row r="15" customFormat="false" ht="15" hidden="false" customHeight="false" outlineLevel="0" collapsed="false">
      <c r="A15" s="32" t="str">
        <f aca="false">B15&amp;"-"&amp;C15</f>
        <v>Agressivo-PAPEL</v>
      </c>
      <c r="B15" s="33" t="s">
        <v>39</v>
      </c>
      <c r="C15" s="33" t="s">
        <v>25</v>
      </c>
      <c r="D15" s="34" t="n">
        <v>0.2</v>
      </c>
    </row>
    <row r="16" customFormat="false" ht="15" hidden="false" customHeight="false" outlineLevel="0" collapsed="false">
      <c r="A16" s="32" t="str">
        <f aca="false">B16&amp;"-"&amp;C16</f>
        <v>Agressivo-TIJOLO</v>
      </c>
      <c r="B16" s="33" t="s">
        <v>39</v>
      </c>
      <c r="C16" s="33" t="s">
        <v>26</v>
      </c>
      <c r="D16" s="34" t="n">
        <v>0.25</v>
      </c>
    </row>
    <row r="17" customFormat="false" ht="15" hidden="false" customHeight="false" outlineLevel="0" collapsed="false">
      <c r="A17" s="32" t="str">
        <f aca="false">B17&amp;"-"&amp;C17</f>
        <v>Agressivo-HÍBRIDOS</v>
      </c>
      <c r="B17" s="33" t="s">
        <v>39</v>
      </c>
      <c r="C17" s="33" t="s">
        <v>27</v>
      </c>
      <c r="D17" s="34" t="n">
        <v>0.1</v>
      </c>
    </row>
    <row r="18" customFormat="false" ht="15" hidden="false" customHeight="false" outlineLevel="0" collapsed="false">
      <c r="A18" s="32" t="str">
        <f aca="false">B18&amp;"-"&amp;C18</f>
        <v>Agressivo-FOFs</v>
      </c>
      <c r="B18" s="33" t="s">
        <v>39</v>
      </c>
      <c r="C18" s="33" t="s">
        <v>28</v>
      </c>
      <c r="D18" s="34" t="n">
        <v>0.05</v>
      </c>
    </row>
    <row r="19" customFormat="false" ht="15" hidden="false" customHeight="false" outlineLevel="0" collapsed="false">
      <c r="A19" s="32" t="str">
        <f aca="false">B19&amp;"-"&amp;C19</f>
        <v>Agressivo-DESENVOLVIMENTO</v>
      </c>
      <c r="B19" s="33" t="s">
        <v>39</v>
      </c>
      <c r="C19" s="33" t="s">
        <v>29</v>
      </c>
      <c r="D19" s="34" t="n">
        <v>0.25</v>
      </c>
    </row>
    <row r="20" customFormat="false" ht="15" hidden="false" customHeight="false" outlineLevel="0" collapsed="false">
      <c r="A20" s="32" t="str">
        <f aca="false">B20&amp;"-"&amp;C20</f>
        <v>Agressivo-HOTELARIAS</v>
      </c>
      <c r="B20" s="33" t="s">
        <v>39</v>
      </c>
      <c r="C20" s="33" t="s">
        <v>30</v>
      </c>
      <c r="D20" s="34" t="n">
        <v>0.15</v>
      </c>
    </row>
    <row r="22" customFormat="false" ht="15" hidden="false" customHeight="false" outlineLevel="0" collapsed="false">
      <c r="A22" s="3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2026-10-17T21:59:41Z</dcterms:created>
  <dc:creator>openpyxl</dc:creator>
  <dc:description/>
  <dc:language>en-US</dc:language>
  <cp:lastModifiedBy/>
  <dcterms:modified xsi:type="dcterms:W3CDTF">2026-10-17T21:59:43Z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